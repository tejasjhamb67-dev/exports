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Analysis" sheetId="2" state="visible" r:id="rId2"/>
    <sheet name="Financials" sheetId="3" state="visible" r:id="rId3"/>
    <sheet name="Peer Com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$#,##0.00"/>
    <numFmt numFmtId="166" formatCode="0.0%"/>
    <numFmt numFmtId="167" formatCode="#,##0.0"/>
    <numFmt numFmtId="168" formatCode="yyyy-mm"/>
    <numFmt numFmtId="169" formatCode="0.0"/>
    <numFmt numFmtId="170" formatCode="0.0&quot;x&quot;"/>
  </numFmts>
  <fonts count="11">
    <font>
      <name val="Calibri"/>
      <family val="2"/>
      <color theme="1"/>
      <sz val="11"/>
      <scheme val="minor"/>
    </font>
    <font>
      <name val="Arial"/>
      <b val="1"/>
      <color rgb="001F3A5F"/>
      <sz val="20"/>
    </font>
    <font>
      <name val="Arial"/>
      <b val="1"/>
      <i val="1"/>
      <color rgb="007A7A7A"/>
      <sz val="10"/>
    </font>
    <font>
      <name val="Arial"/>
      <b val="1"/>
      <color rgb="00111111"/>
      <sz val="10"/>
    </font>
    <font>
      <name val="Arial"/>
      <color rgb="00222222"/>
      <sz val="10"/>
    </font>
    <font>
      <name val="Arial"/>
      <i val="1"/>
      <color rgb="000000FF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i val="1"/>
      <color rgb="007A7A7A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7DE"/>
      </patternFill>
    </fill>
    <fill>
      <patternFill patternType="solid">
        <fgColor rgb="001F3A5F"/>
      </patternFill>
    </fill>
    <fill>
      <patternFill patternType="solid">
        <fgColor rgb="00F2F5F8"/>
      </patternFill>
    </fill>
    <fill>
      <patternFill patternType="solid">
        <fgColor rgb="0022505A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  <border>
      <left/>
      <right/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 wrapText="1"/>
    </xf>
    <xf numFmtId="166" fontId="8" fillId="2" borderId="1" applyAlignment="1" pivotButton="0" quotePrefix="0" xfId="0">
      <alignment horizontal="center" vertical="center" wrapText="1"/>
    </xf>
    <xf numFmtId="167" fontId="6" fillId="2" borderId="1" applyAlignment="1" pivotButton="0" quotePrefix="0" xfId="0">
      <alignment horizontal="center" vertical="center" wrapText="1"/>
    </xf>
    <xf numFmtId="166" fontId="6" fillId="2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2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0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168" fontId="6" fillId="2" borderId="1" applyAlignment="1" pivotButton="0" quotePrefix="0" xfId="0">
      <alignment horizontal="center" vertical="center" wrapText="1"/>
    </xf>
    <xf numFmtId="169" fontId="6" fillId="2" borderId="1" applyAlignment="1" pivotButton="0" quotePrefix="0" xfId="0">
      <alignment horizontal="center" vertical="center" wrapText="1"/>
    </xf>
    <xf numFmtId="17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6" fontId="4" fillId="2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3" fontId="6" fillId="2" borderId="1" pivotButton="0" quotePrefix="0" xfId="0"/>
    <xf numFmtId="166" fontId="4" fillId="0" borderId="1" pivotButton="0" quotePrefix="0" xfId="0"/>
    <xf numFmtId="165" fontId="4" fillId="0" borderId="1" pivotButton="0" quotePrefix="0" xfId="0"/>
    <xf numFmtId="0" fontId="10" fillId="5" borderId="0" applyAlignment="1" pivotButton="0" quotePrefix="0" xfId="0">
      <alignment horizontal="left" vertical="center"/>
    </xf>
    <xf numFmtId="165" fontId="6" fillId="2" borderId="1" pivotButton="0" quotePrefix="0" xfId="0"/>
    <xf numFmtId="3" fontId="4" fillId="0" borderId="1" pivotButton="0" quotePrefix="0" xfId="0"/>
    <xf numFmtId="170" fontId="4" fillId="0" borderId="1" pivotButton="0" quotePrefix="0" xfId="0"/>
    <xf numFmtId="0" fontId="3" fillId="4" borderId="1" pivotButton="0" quotePrefix="0" xfId="0"/>
    <xf numFmtId="3" fontId="8" fillId="4" borderId="1" pivotButton="0" quotePrefix="0" xfId="0"/>
    <xf numFmtId="170" fontId="8" fillId="4" borderId="1" pivotButton="0" quotePrefix="0" xfId="0"/>
    <xf numFmtId="166" fontId="8" fillId="4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92" customWidth="1" min="3" max="3"/>
  </cols>
  <sheetData>
    <row r="2">
      <c r="B2" s="1" t="inlineStr">
        <is>
          <t>Single-Stock Analysis — Template</t>
        </is>
      </c>
    </row>
    <row r="3">
      <c r="B3" s="2" t="inlineStr">
        <is>
          <t>Reusable equity research one-pager · fundamentals-first, lightly technical</t>
        </is>
      </c>
    </row>
    <row r="5" ht="43" customHeight="1">
      <c r="B5" s="3" t="inlineStr">
        <is>
          <t>Purpose</t>
        </is>
      </c>
      <c r="C5" s="4" t="inlineStr">
        <is>
          <t>Drop in any ticker and build a clean, decision-ready analysis. Reusable across every stock — duplicate the 'Analysis' + 'Financials' tabs per name, or overwrite for a fresh one.</t>
        </is>
      </c>
    </row>
    <row r="6" ht="43" customHeight="1">
      <c r="B6" s="3" t="inlineStr">
        <is>
          <t>Structure</t>
        </is>
      </c>
      <c r="C6" s="4" t="inlineStr">
        <is>
          <t>Follows the CFA Institute 'Equity Research Report Essentials' sections, tuned to your focus: Markets · Flows · Deals · Country.</t>
        </is>
      </c>
    </row>
    <row r="7" ht="43" customHeight="1">
      <c r="B7" s="3" t="inlineStr">
        <is>
          <t>Colour code</t>
        </is>
      </c>
      <c r="C7" s="4" t="inlineStr">
        <is>
          <t>BLUE text = your hardcoded inputs.  YELLOW fill = input / assumption cells.  BLACK = formulas (don't overwrite).  GREY italic = prompts telling you what to write.</t>
        </is>
      </c>
    </row>
    <row r="8" ht="43" customHeight="1">
      <c r="B8" s="3" t="inlineStr">
        <is>
          <t>Auto-calcs</t>
        </is>
      </c>
      <c r="C8" s="4" t="inlineStr">
        <is>
          <t>Upside %, Market Cap, growth %, margins %, and valuation multiples are formulas — they update as you type inputs. Everything else is free-text or a number you supply.</t>
        </is>
      </c>
    </row>
    <row r="9" ht="43" customHeight="1">
      <c r="B9" s="3" t="inlineStr">
        <is>
          <t>Analysis tab</t>
        </is>
      </c>
      <c r="C9" s="4" t="inlineStr">
        <is>
          <t>The hero one-pager: snapshot &amp; recommendation, business, markets, country/geo, competitive positioning (Porter mini), deals, capital &amp; money flows, thesis, valuation, risks, ESG, technicals.</t>
        </is>
      </c>
    </row>
    <row r="10" ht="43" customHeight="1">
      <c r="B10" s="3" t="inlineStr">
        <is>
          <t>Financials tab</t>
        </is>
      </c>
      <c r="C10" s="4" t="inlineStr">
        <is>
          <t>A light 3-year-history + 3-year-forecast skeleton. Enter the blue cells; growth, margins and per-share/valuation lines calculate themselves.</t>
        </is>
      </c>
    </row>
    <row r="11" ht="43" customHeight="1">
      <c r="B11" s="3" t="inlineStr">
        <is>
          <t>Peer Comps tab</t>
        </is>
      </c>
      <c r="C11" s="4" t="inlineStr">
        <is>
          <t>A small relative-valuation table — list 4-6 peers, enter multiples, get an average to anchor your target.</t>
        </is>
      </c>
    </row>
    <row r="12" ht="57" customHeight="1">
      <c r="B12" s="3" t="inlineStr">
        <is>
          <t>Workflow</t>
        </is>
      </c>
      <c r="C12" s="4" t="inlineStr">
        <is>
          <t>1) Fill the snapshot + recommendation.  2) Write the qualitative sections.  3) Enter financials &amp; peers.  4) Set valuation + target.  5) Sanity-check the technicals strip.  6) Write the one-line thesis.</t>
        </is>
      </c>
    </row>
    <row r="13" ht="29" customHeight="1">
      <c r="B13" s="3" t="inlineStr">
        <is>
          <t>Not advice</t>
        </is>
      </c>
      <c r="C13" s="4" t="inlineStr">
        <is>
          <t>A structured worksheet, not investment advice. Verify every figure against primary filings.</t>
        </is>
      </c>
    </row>
    <row r="15">
      <c r="B15" s="5" t="inlineStr">
        <is>
          <t>Example (fill format)</t>
        </is>
      </c>
    </row>
    <row r="16">
      <c r="B16" s="6" t="inlineStr">
        <is>
          <t>Ticker</t>
        </is>
      </c>
      <c r="C16" s="7" t="inlineStr">
        <is>
          <t>NVDA</t>
        </is>
      </c>
    </row>
    <row r="17">
      <c r="B17" s="6" t="inlineStr">
        <is>
          <t>Recommendation</t>
        </is>
      </c>
      <c r="C17" s="7" t="inlineStr">
        <is>
          <t>Buy / Hold / Sell</t>
        </is>
      </c>
    </row>
    <row r="18">
      <c r="B18" s="6" t="inlineStr">
        <is>
          <t>Current Price</t>
        </is>
      </c>
      <c r="C18" s="7" t="inlineStr">
        <is>
          <t>$X.XX</t>
        </is>
      </c>
    </row>
    <row r="19">
      <c r="B19" s="6" t="inlineStr">
        <is>
          <t>Target Price</t>
        </is>
      </c>
      <c r="C19" s="7" t="inlineStr">
        <is>
          <t>$X.XX</t>
        </is>
      </c>
    </row>
    <row r="20">
      <c r="B20" s="6" t="inlineStr">
        <is>
          <t>Rev Growth %</t>
        </is>
      </c>
      <c r="C20" s="7" t="inlineStr">
        <is>
          <t>enter 0.25 for 25%</t>
        </is>
      </c>
    </row>
    <row r="21">
      <c r="B21" s="6" t="inlineStr">
        <is>
          <t>Gross Margin %</t>
        </is>
      </c>
      <c r="C21" s="7" t="inlineStr">
        <is>
          <t>enter 0.75 for 75%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" customWidth="1" min="9" max="9"/>
  </cols>
  <sheetData>
    <row r="1" ht="26" customHeight="1">
      <c r="B1" s="1" t="inlineStr">
        <is>
          <t>Stock Analysis</t>
        </is>
      </c>
    </row>
    <row r="2">
      <c r="B2" s="8" t="inlineStr">
        <is>
          <t>Company</t>
        </is>
      </c>
      <c r="C2" s="9" t="n"/>
      <c r="E2" s="8" t="inlineStr">
        <is>
          <t>Ticker</t>
        </is>
      </c>
      <c r="F2" s="10" t="n"/>
      <c r="G2" s="8" t="inlineStr">
        <is>
          <t>As of</t>
        </is>
      </c>
      <c r="H2" s="11" t="n"/>
    </row>
    <row r="3">
      <c r="B3" s="8" t="inlineStr">
        <is>
          <t>Exchange</t>
        </is>
      </c>
      <c r="C3" s="10" t="n"/>
      <c r="E3" s="8" t="inlineStr">
        <is>
          <t>Analyst</t>
        </is>
      </c>
      <c r="F3" s="9" t="n"/>
    </row>
    <row r="5" ht="22" customHeight="1">
      <c r="B5" s="12" t="inlineStr">
        <is>
          <t>RECOMMENDATION SNAPSHOT</t>
        </is>
      </c>
    </row>
    <row r="6" ht="28" customHeight="1">
      <c r="B6" s="13" t="inlineStr">
        <is>
          <t>Recommendation</t>
        </is>
      </c>
      <c r="C6" s="13" t="inlineStr">
        <is>
          <t>Conviction (1-5)</t>
        </is>
      </c>
      <c r="D6" s="13" t="inlineStr">
        <is>
          <t>Current Price</t>
        </is>
      </c>
      <c r="E6" s="13" t="inlineStr">
        <is>
          <t>Target Price</t>
        </is>
      </c>
      <c r="F6" s="13" t="inlineStr">
        <is>
          <t>Upside %</t>
        </is>
      </c>
      <c r="G6" s="13" t="inlineStr">
        <is>
          <t>Time Horizon</t>
        </is>
      </c>
    </row>
    <row r="7">
      <c r="B7" s="10" t="n"/>
      <c r="C7" s="14" t="n"/>
      <c r="D7" s="15" t="n"/>
      <c r="E7" s="15" t="n"/>
      <c r="F7" s="16">
        <f>IFERROR(E7/D7-1,"")</f>
        <v/>
      </c>
      <c r="G7" s="10" t="n"/>
    </row>
    <row r="9" ht="22" customHeight="1">
      <c r="B9" s="12" t="inlineStr">
        <is>
          <t>1 · BASIC INFORMATION  ·  liquidity · float · ownership</t>
        </is>
      </c>
    </row>
    <row r="10">
      <c r="B10" s="8" t="inlineStr">
        <is>
          <t>Sector</t>
        </is>
      </c>
      <c r="C10" s="10" t="n"/>
      <c r="E10" s="8" t="inlineStr">
        <is>
          <t>Industry</t>
        </is>
      </c>
      <c r="F10" s="10" t="n"/>
    </row>
    <row r="11">
      <c r="B11" s="8" t="inlineStr">
        <is>
          <t>Country / HQ</t>
        </is>
      </c>
      <c r="C11" s="10" t="n"/>
      <c r="E11" s="8" t="inlineStr">
        <is>
          <t>Reporting Currency</t>
        </is>
      </c>
      <c r="F11" s="10" t="n"/>
    </row>
    <row r="12">
      <c r="B12" s="8" t="inlineStr">
        <is>
          <t>Shares Outstanding (m)</t>
        </is>
      </c>
      <c r="C12" s="17" t="n"/>
      <c r="E12" s="8" t="inlineStr">
        <is>
          <t>Free Float %</t>
        </is>
      </c>
      <c r="F12" s="18" t="n"/>
    </row>
    <row r="13">
      <c r="B13" s="8" t="inlineStr">
        <is>
          <t>Avg Daily Volume (m)</t>
        </is>
      </c>
      <c r="C13" s="19" t="n"/>
      <c r="E13" s="8" t="inlineStr">
        <is>
          <t>Beta</t>
        </is>
      </c>
      <c r="F13" s="20" t="n"/>
    </row>
    <row r="14">
      <c r="B14" s="8" t="inlineStr">
        <is>
          <t>52-Week Low</t>
        </is>
      </c>
      <c r="C14" s="15" t="n"/>
      <c r="E14" s="8" t="inlineStr">
        <is>
          <t>52-Week High</t>
        </is>
      </c>
      <c r="F14" s="15" t="n"/>
    </row>
    <row r="15">
      <c r="B15" s="8" t="inlineStr">
        <is>
          <t>Net Debt / (Cash) (m)</t>
        </is>
      </c>
      <c r="C15" s="21" t="n"/>
      <c r="E15" s="8" t="inlineStr">
        <is>
          <t>Fiscal Year End</t>
        </is>
      </c>
      <c r="F15" s="10" t="n"/>
    </row>
    <row r="16">
      <c r="B16" s="8" t="inlineStr">
        <is>
          <t>Market Cap (m)</t>
        </is>
      </c>
      <c r="C16" s="22">
        <f>IFERROR(D7*C12,"")</f>
        <v/>
      </c>
      <c r="E16" s="8" t="inlineStr">
        <is>
          <t>Enterprise Value (m)</t>
        </is>
      </c>
      <c r="F16" s="22">
        <f>IFERROR(C16+C15,"")</f>
        <v/>
      </c>
    </row>
    <row r="17" ht="44" customHeight="1">
      <c r="B17" s="8" t="inlineStr">
        <is>
          <t>Major Shareholders</t>
        </is>
      </c>
      <c r="C17" s="23" t="inlineStr">
        <is>
          <t>e.g. Vanguard 8%, BlackRock 7%, founder/insiders X% — note any large float overhang or control block.</t>
        </is>
      </c>
    </row>
    <row r="18" ht="40" customHeight="1">
      <c r="B18" s="8" t="inlineStr">
        <is>
          <t>Liquidity Note</t>
        </is>
      </c>
      <c r="C18" s="23" t="inlineStr">
        <is>
          <t>Float vs market cap, ADR vs local liquidity, index membership, any thin-float or stress-liquidity caveats.</t>
        </is>
      </c>
    </row>
    <row r="20" ht="22" customHeight="1">
      <c r="B20" s="12" t="inlineStr">
        <is>
          <t>2 · BUSINESS DESCRIPTION  ·  what they do · revenue &amp; cost drivers</t>
        </is>
      </c>
    </row>
    <row r="21" ht="70" customHeight="1">
      <c r="B21" s="23" t="inlineStr">
        <is>
          <t>What the company does; its core products/services; the KEY DRIVERS of revenue and of costs; unit economics. Source from filings.</t>
        </is>
      </c>
    </row>
    <row r="22">
      <c r="B22" s="8" t="inlineStr">
        <is>
          <t>Revenue by Segment</t>
        </is>
      </c>
      <c r="E22" s="24" t="inlineStr">
        <is>
          <t>% of Revenue (enter 0.30 = 30%)</t>
        </is>
      </c>
    </row>
    <row r="23">
      <c r="B23" s="9" t="n"/>
      <c r="D23" s="18" t="n"/>
    </row>
    <row r="24">
      <c r="B24" s="9" t="n"/>
      <c r="D24" s="18" t="n"/>
    </row>
    <row r="25">
      <c r="B25" s="9" t="n"/>
      <c r="D25" s="18" t="n"/>
    </row>
    <row r="26">
      <c r="B26" s="9" t="n"/>
      <c r="D26" s="18" t="n"/>
    </row>
    <row r="28" ht="22" customHeight="1">
      <c r="B28" s="12" t="inlineStr">
        <is>
          <t>3 · MARKETS &amp; DEMAND DRIVERS  ·  TAM · end-markets · secular growth</t>
        </is>
      </c>
    </row>
    <row r="29" ht="66" customHeight="1">
      <c r="B29" s="23" t="inlineStr">
        <is>
          <t>End-markets served; total addressable market and growth; the secular demand drivers (e.g. AI capex, electrification); cyclicality; where in the cycle we are.</t>
        </is>
      </c>
    </row>
    <row r="31" ht="22" customHeight="1">
      <c r="B31" s="12" t="inlineStr">
        <is>
          <t>4 · COUNTRY / GEOGRAPHIC EXPOSURE  ·  revenue by region · geopolitics</t>
        </is>
      </c>
    </row>
    <row r="32">
      <c r="B32" s="8" t="inlineStr">
        <is>
          <t>Revenue by Region</t>
        </is>
      </c>
      <c r="E32" s="24" t="inlineStr">
        <is>
          <t>% (0.40 = 40%)</t>
        </is>
      </c>
    </row>
    <row r="33">
      <c r="B33" s="25" t="inlineStr">
        <is>
          <t>Americas</t>
        </is>
      </c>
      <c r="C33" s="26" t="n"/>
      <c r="D33" s="18" t="n"/>
    </row>
    <row r="34">
      <c r="B34" s="25" t="inlineStr">
        <is>
          <t>EMEA</t>
        </is>
      </c>
      <c r="C34" s="26" t="n"/>
      <c r="D34" s="18" t="n"/>
    </row>
    <row r="35">
      <c r="B35" s="25" t="inlineStr">
        <is>
          <t>Greater China</t>
        </is>
      </c>
      <c r="C35" s="26" t="n"/>
      <c r="D35" s="18" t="n"/>
    </row>
    <row r="36">
      <c r="B36" s="25" t="inlineStr">
        <is>
          <t>Rest of Asia-Pac</t>
        </is>
      </c>
      <c r="C36" s="26" t="n"/>
      <c r="D36" s="18" t="n"/>
    </row>
    <row r="37" ht="46" customHeight="1">
      <c r="B37" s="8" t="inlineStr">
        <is>
          <t>Geo / Geopolitical Notes</t>
        </is>
      </c>
      <c r="C37" s="23" t="inlineStr">
        <is>
          <t>Manufacturing vs sales geography; export-control / tariff / sanction exposure; FX sensitivity; regulatory regime by country.</t>
        </is>
      </c>
    </row>
    <row r="39" ht="22" customHeight="1">
      <c r="B39" s="12" t="inlineStr">
        <is>
          <t>5 · INDUSTRY &amp; COMPETITIVE POSITIONING  ·  Porter's Five Forces · moat</t>
        </is>
      </c>
    </row>
    <row r="40">
      <c r="B40" s="8" t="inlineStr">
        <is>
          <t>Five Forces</t>
        </is>
      </c>
      <c r="D40" s="24" t="inlineStr">
        <is>
          <t>Intensity 1-5</t>
        </is>
      </c>
      <c r="E40" s="24" t="inlineStr">
        <is>
          <t>Note</t>
        </is>
      </c>
    </row>
    <row r="41" ht="16" customHeight="1">
      <c r="B41" s="25" t="inlineStr">
        <is>
          <t>Threat of new entrants</t>
        </is>
      </c>
      <c r="C41" s="26" t="n"/>
      <c r="D41" s="14" t="n"/>
      <c r="E41" s="23" t="inlineStr"/>
    </row>
    <row r="42" ht="16" customHeight="1">
      <c r="B42" s="25" t="inlineStr">
        <is>
          <t>Supplier power</t>
        </is>
      </c>
      <c r="C42" s="26" t="n"/>
      <c r="D42" s="14" t="n"/>
      <c r="E42" s="23" t="inlineStr"/>
    </row>
    <row r="43" ht="16" customHeight="1">
      <c r="B43" s="25" t="inlineStr">
        <is>
          <t>Buyer power</t>
        </is>
      </c>
      <c r="C43" s="26" t="n"/>
      <c r="D43" s="14" t="n"/>
      <c r="E43" s="23" t="inlineStr"/>
    </row>
    <row r="44" ht="16" customHeight="1">
      <c r="B44" s="25" t="inlineStr">
        <is>
          <t>Threat of substitutes</t>
        </is>
      </c>
      <c r="C44" s="26" t="n"/>
      <c r="D44" s="14" t="n"/>
      <c r="E44" s="23" t="inlineStr"/>
    </row>
    <row r="45" ht="16" customHeight="1">
      <c r="B45" s="25" t="inlineStr">
        <is>
          <t>Competitive rivalry</t>
        </is>
      </c>
      <c r="C45" s="26" t="n"/>
      <c r="D45" s="14" t="n"/>
      <c r="E45" s="23" t="inlineStr"/>
    </row>
    <row r="46" ht="44" customHeight="1">
      <c r="B46" s="8" t="inlineStr">
        <is>
          <t>Economic Moat</t>
        </is>
      </c>
      <c r="C46" s="23" t="inlineStr">
        <is>
          <t>Source of durable advantage (scale, brand, switching costs, IP, network effect, cost leadership) — Buffett's 'moat'. How breachable?</t>
        </is>
      </c>
    </row>
    <row r="47" ht="34" customHeight="1">
      <c r="B47" s="8" t="inlineStr">
        <is>
          <t>Key Competitors &amp; Share</t>
        </is>
      </c>
      <c r="C47" s="23" t="inlineStr">
        <is>
          <t>Peer set; approximate market shares; share trend (gaining/losing); pricing &amp; capacity dynamics.</t>
        </is>
      </c>
    </row>
    <row r="49" ht="22" customHeight="1">
      <c r="B49" s="12" t="inlineStr">
        <is>
          <t>6 · DEALS, PARTNERSHIPS &amp; M&amp;A</t>
        </is>
      </c>
    </row>
    <row r="50">
      <c r="B50" s="27" t="inlineStr">
        <is>
          <t>Date</t>
        </is>
      </c>
      <c r="C50" s="27" t="inlineStr">
        <is>
          <t>Counterparty</t>
        </is>
      </c>
      <c r="D50" s="27" t="inlineStr">
        <is>
          <t>Type</t>
        </is>
      </c>
      <c r="E50" s="27" t="inlineStr">
        <is>
          <t>Value</t>
        </is>
      </c>
      <c r="F50" s="27" t="inlineStr">
        <is>
          <t>Note / Strategic Rationale</t>
        </is>
      </c>
      <c r="G50" s="28" t="n"/>
      <c r="H50" s="26" t="n"/>
    </row>
    <row r="51">
      <c r="B51" s="29" t="n"/>
      <c r="C51" s="9" t="n"/>
      <c r="D51" s="9" t="n"/>
      <c r="E51" s="9" t="n"/>
      <c r="F51" s="9" t="n"/>
    </row>
    <row r="52">
      <c r="B52" s="29" t="n"/>
      <c r="C52" s="9" t="n"/>
      <c r="D52" s="9" t="n"/>
      <c r="E52" s="9" t="n"/>
      <c r="F52" s="9" t="n"/>
    </row>
    <row r="53">
      <c r="B53" s="29" t="n"/>
      <c r="C53" s="9" t="n"/>
      <c r="D53" s="9" t="n"/>
      <c r="E53" s="9" t="n"/>
      <c r="F53" s="9" t="n"/>
    </row>
    <row r="54">
      <c r="B54" s="29" t="n"/>
      <c r="C54" s="9" t="n"/>
      <c r="D54" s="9" t="n"/>
      <c r="E54" s="9" t="n"/>
      <c r="F54" s="9" t="n"/>
    </row>
    <row r="56" ht="22" customHeight="1">
      <c r="B56" s="12" t="inlineStr">
        <is>
          <t>7 · CAPITAL &amp; MONEY FLOWS  ·  capex · buybacks · ownership · fund flows</t>
        </is>
      </c>
    </row>
    <row r="58">
      <c r="B58" s="8" t="inlineStr">
        <is>
          <t>Capex ($m, trend)</t>
        </is>
      </c>
      <c r="C58" s="21" t="n"/>
      <c r="E58" s="8" t="inlineStr">
        <is>
          <t>Buyback + Dividend ($m)</t>
        </is>
      </c>
      <c r="F58" s="21" t="n"/>
    </row>
    <row r="59">
      <c r="B59" s="8" t="inlineStr">
        <is>
          <t>Institutional Own %</t>
        </is>
      </c>
      <c r="C59" s="18" t="n"/>
      <c r="E59" s="8" t="inlineStr">
        <is>
          <t>Insider Own %</t>
        </is>
      </c>
      <c r="F59" s="18" t="n"/>
    </row>
    <row r="60">
      <c r="B60" s="8" t="inlineStr">
        <is>
          <t>Short Interest %</t>
        </is>
      </c>
      <c r="C60" s="18" t="n"/>
      <c r="E60" s="8" t="inlineStr">
        <is>
          <t>Days to Cover</t>
        </is>
      </c>
      <c r="F60" s="30" t="n"/>
    </row>
    <row r="61" ht="46" customHeight="1">
      <c r="B61" s="8" t="inlineStr">
        <is>
          <t>Flows / Capital-Allocation Note</t>
        </is>
      </c>
      <c r="C61" s="23" t="inlineStr">
        <is>
          <t>Capex cycle &amp; funding (organic vs debt vs partners); buyback pace; ownership concentration; notable 13F / ETF / southbound flow; capital-allocation quality.</t>
        </is>
      </c>
    </row>
    <row r="63" ht="22" customHeight="1">
      <c r="B63" s="12" t="inlineStr">
        <is>
          <t>8 · INVESTMENT SUMMARY &amp; THESIS  ·  why mispriced · catalysts</t>
        </is>
      </c>
    </row>
    <row r="64" ht="34" customHeight="1">
      <c r="B64" s="8" t="inlineStr">
        <is>
          <t>Core Thesis (1-2 lines)</t>
        </is>
      </c>
      <c r="C64" s="23" t="inlineStr">
        <is>
          <t>The one-paragraph 'why own it' — the variant view.</t>
        </is>
      </c>
    </row>
    <row r="65" ht="40" customHeight="1">
      <c r="B65" s="8" t="inlineStr">
        <is>
          <t>What the Market Misses</t>
        </is>
      </c>
      <c r="C65" s="23" t="inlineStr">
        <is>
          <t>What is the market NOT properly discounting, and what will make it re-price?</t>
        </is>
      </c>
    </row>
    <row r="66" ht="40" customHeight="1">
      <c r="B66" s="8" t="inlineStr">
        <is>
          <t>Catalysts (next 6-12m)</t>
        </is>
      </c>
      <c r="C66" s="23" t="inlineStr">
        <is>
          <t>Dated catalysts: earnings, product ramps, contract wins, capex guides, regulatory/geopolitical events.</t>
        </is>
      </c>
    </row>
    <row r="68" ht="22" customHeight="1">
      <c r="B68" s="12" t="inlineStr">
        <is>
          <t>9 · VALUATION  ·  relative multiples + quick DCF</t>
        </is>
      </c>
    </row>
    <row r="69">
      <c r="B69" s="27" t="inlineStr">
        <is>
          <t>Metric</t>
        </is>
      </c>
      <c r="C69" s="27" t="inlineStr">
        <is>
          <t>This Co.</t>
        </is>
      </c>
      <c r="D69" s="27" t="inlineStr">
        <is>
          <t>Peer Avg</t>
        </is>
      </c>
      <c r="E69" s="27" t="inlineStr">
        <is>
          <t>5-Yr Avg</t>
        </is>
      </c>
      <c r="F69" s="27" t="inlineStr">
        <is>
          <t>Implied / Comment</t>
        </is>
      </c>
      <c r="G69" s="28" t="n"/>
      <c r="H69" s="26" t="n"/>
    </row>
    <row r="70">
      <c r="B70" s="25" t="inlineStr">
        <is>
          <t>P/E</t>
        </is>
      </c>
      <c r="C70" s="31" t="n"/>
      <c r="D70" s="31" t="n"/>
      <c r="E70" s="31" t="n"/>
      <c r="F70" s="9" t="n"/>
    </row>
    <row r="71">
      <c r="B71" s="25" t="inlineStr">
        <is>
          <t>EV/Sales</t>
        </is>
      </c>
      <c r="C71" s="31" t="n"/>
      <c r="D71" s="31" t="n"/>
      <c r="E71" s="31" t="n"/>
      <c r="F71" s="9" t="n"/>
    </row>
    <row r="72">
      <c r="B72" s="25" t="inlineStr">
        <is>
          <t>EV/EBITDA</t>
        </is>
      </c>
      <c r="C72" s="31" t="n"/>
      <c r="D72" s="31" t="n"/>
      <c r="E72" s="31" t="n"/>
      <c r="F72" s="9" t="n"/>
    </row>
    <row r="73">
      <c r="B73" s="25" t="inlineStr">
        <is>
          <t>P/FCF</t>
        </is>
      </c>
      <c r="C73" s="31" t="n"/>
      <c r="D73" s="31" t="n"/>
      <c r="E73" s="31" t="n"/>
      <c r="F73" s="9" t="n"/>
    </row>
    <row r="74">
      <c r="B74" s="25" t="inlineStr">
        <is>
          <t>FCF Yield</t>
        </is>
      </c>
      <c r="C74" s="18" t="n"/>
      <c r="D74" s="18" t="n"/>
      <c r="E74" s="18" t="n"/>
      <c r="F74" s="9" t="n"/>
    </row>
    <row r="75">
      <c r="B75" s="25" t="inlineStr">
        <is>
          <t>PEG</t>
        </is>
      </c>
      <c r="C75" s="20" t="n"/>
      <c r="D75" s="20" t="n"/>
      <c r="E75" s="20" t="n"/>
      <c r="F75" s="9" t="n"/>
    </row>
    <row r="76">
      <c r="B76" s="8" t="inlineStr">
        <is>
          <t>Quick DCF</t>
        </is>
      </c>
    </row>
    <row r="77">
      <c r="B77" s="8" t="inlineStr">
        <is>
          <t>WACC</t>
        </is>
      </c>
      <c r="C77" s="18" t="n"/>
    </row>
    <row r="78">
      <c r="B78" s="8" t="inlineStr">
        <is>
          <t>Terminal growth</t>
        </is>
      </c>
      <c r="C78" s="18" t="n"/>
    </row>
    <row r="79">
      <c r="B79" s="8" t="inlineStr">
        <is>
          <t>FY+1 FCF ($m)</t>
        </is>
      </c>
      <c r="C79" s="21" t="n"/>
    </row>
    <row r="80">
      <c r="B80" s="8" t="inlineStr">
        <is>
          <t>Implied EV — perpetuity (m)</t>
        </is>
      </c>
      <c r="C80" s="22">
        <f>IFERROR(C79*(1+C78)/(C77-C78),"")</f>
        <v/>
      </c>
      <c r="E80" s="24" t="inlineStr">
        <is>
          <t>(Gordon-growth check vs market cap)</t>
        </is>
      </c>
    </row>
    <row r="82" ht="22" customHeight="1">
      <c r="B82" s="12" t="inlineStr">
        <is>
          <t>10 · INVESTMENT RISKS</t>
        </is>
      </c>
    </row>
    <row r="83">
      <c r="B83" s="27" t="inlineStr">
        <is>
          <t>Risk</t>
        </is>
      </c>
      <c r="C83" s="26" t="n"/>
      <c r="D83" s="27" t="inlineStr">
        <is>
          <t>Type</t>
        </is>
      </c>
      <c r="E83" s="27" t="inlineStr">
        <is>
          <t>Severity 1-5</t>
        </is>
      </c>
      <c r="F83" s="27" t="inlineStr">
        <is>
          <t>Mitigant / Note</t>
        </is>
      </c>
      <c r="G83" s="28" t="n"/>
      <c r="H83" s="26" t="n"/>
    </row>
    <row r="84">
      <c r="B84" s="9" t="n"/>
      <c r="D84" s="10" t="n"/>
      <c r="E84" s="14" t="n"/>
      <c r="F84" s="9" t="n"/>
    </row>
    <row r="85">
      <c r="B85" s="9" t="n"/>
      <c r="D85" s="10" t="n"/>
      <c r="E85" s="14" t="n"/>
      <c r="F85" s="9" t="n"/>
    </row>
    <row r="86">
      <c r="B86" s="9" t="n"/>
      <c r="D86" s="10" t="n"/>
      <c r="E86" s="14" t="n"/>
      <c r="F86" s="9" t="n"/>
    </row>
    <row r="87">
      <c r="B87" s="9" t="n"/>
      <c r="D87" s="10" t="n"/>
      <c r="E87" s="14" t="n"/>
      <c r="F87" s="9" t="n"/>
    </row>
    <row r="88">
      <c r="B88" s="9" t="n"/>
      <c r="D88" s="10" t="n"/>
      <c r="E88" s="14" t="n"/>
      <c r="F88" s="9" t="n"/>
    </row>
    <row r="90" ht="22" customHeight="1">
      <c r="B90" s="12" t="inlineStr">
        <is>
          <t>11 · ENVIRONMENTAL · SOCIAL · GOVERNANCE</t>
        </is>
      </c>
    </row>
    <row r="91" ht="30" customHeight="1">
      <c r="B91" s="32" t="inlineStr">
        <is>
          <t>Environmental</t>
        </is>
      </c>
      <c r="C91" s="26" t="n"/>
      <c r="D91" s="23" t="inlineStr">
        <is>
          <t>Key environmental factors, risks and any red flags.</t>
        </is>
      </c>
    </row>
    <row r="92" ht="30" customHeight="1">
      <c r="B92" s="32" t="inlineStr">
        <is>
          <t>Social</t>
        </is>
      </c>
      <c r="C92" s="26" t="n"/>
      <c r="D92" s="23" t="inlineStr">
        <is>
          <t>Key social factors, risks and any red flags.</t>
        </is>
      </c>
    </row>
    <row r="93" ht="30" customHeight="1">
      <c r="B93" s="32" t="inlineStr">
        <is>
          <t>Governance</t>
        </is>
      </c>
      <c r="C93" s="26" t="n"/>
      <c r="D93" s="23" t="inlineStr">
        <is>
          <t>Key governance factors, risks and any red flags.</t>
        </is>
      </c>
    </row>
    <row r="94" ht="22" customHeight="1">
      <c r="B94" s="12" t="inlineStr">
        <is>
          <t>12 · TECHNICAL STRIP  ·  a light overlay on the fundamentals</t>
        </is>
      </c>
    </row>
    <row r="96">
      <c r="B96" s="8" t="inlineStr">
        <is>
          <t>50-day MA</t>
        </is>
      </c>
      <c r="C96" s="15" t="n"/>
      <c r="D96" s="8" t="inlineStr">
        <is>
          <t>200-day MA</t>
        </is>
      </c>
      <c r="E96" s="15" t="n"/>
      <c r="F96" s="8" t="inlineStr">
        <is>
          <t>RSI(14)</t>
        </is>
      </c>
      <c r="G96" s="14" t="n"/>
    </row>
    <row r="97">
      <c r="B97" s="8" t="inlineStr">
        <is>
          <t>Support</t>
        </is>
      </c>
      <c r="C97" s="15" t="n"/>
      <c r="D97" s="8" t="inlineStr">
        <is>
          <t>Resistance</t>
        </is>
      </c>
      <c r="E97" s="15" t="n"/>
      <c r="F97" s="8" t="inlineStr">
        <is>
          <t>Trend (Up/Down/Range)</t>
        </is>
      </c>
      <c r="G97" s="10" t="n"/>
    </row>
    <row r="98">
      <c r="B98" s="8" t="inlineStr">
        <is>
          <t>% vs 52-Week Range</t>
        </is>
      </c>
      <c r="C98" s="33">
        <f>IFERROR((D7-C14)/(F14-C14),"")</f>
        <v/>
      </c>
      <c r="E98" s="24" t="inlineStr">
        <is>
          <t>0% = at 52w low, 100% = at 52w high</t>
        </is>
      </c>
    </row>
  </sheetData>
  <mergeCells count="75">
    <mergeCell ref="B91:C91"/>
    <mergeCell ref="C65:H65"/>
    <mergeCell ref="E45:H45"/>
    <mergeCell ref="C47:H47"/>
    <mergeCell ref="B9:H9"/>
    <mergeCell ref="B25:C25"/>
    <mergeCell ref="B49:H49"/>
    <mergeCell ref="B68:H68"/>
    <mergeCell ref="F85:H85"/>
    <mergeCell ref="F50:H50"/>
    <mergeCell ref="F75:H75"/>
    <mergeCell ref="F70:H70"/>
    <mergeCell ref="B93:C93"/>
    <mergeCell ref="E41:H41"/>
    <mergeCell ref="B5:H5"/>
    <mergeCell ref="B20:H20"/>
    <mergeCell ref="B43:C43"/>
    <mergeCell ref="B63:H63"/>
    <mergeCell ref="F3:G3"/>
    <mergeCell ref="C46:H46"/>
    <mergeCell ref="F72:H72"/>
    <mergeCell ref="B86:C86"/>
    <mergeCell ref="B94:H94"/>
    <mergeCell ref="E43:H43"/>
    <mergeCell ref="F71:H71"/>
    <mergeCell ref="B42:C42"/>
    <mergeCell ref="B23:C23"/>
    <mergeCell ref="C61:H61"/>
    <mergeCell ref="F52:H52"/>
    <mergeCell ref="C17:H17"/>
    <mergeCell ref="B90:H90"/>
    <mergeCell ref="B88:C88"/>
    <mergeCell ref="E42:H42"/>
    <mergeCell ref="B31:H31"/>
    <mergeCell ref="B87:C87"/>
    <mergeCell ref="B44:C44"/>
    <mergeCell ref="D91:H91"/>
    <mergeCell ref="C2:D2"/>
    <mergeCell ref="B56:H56"/>
    <mergeCell ref="C66:H66"/>
    <mergeCell ref="B21:H21"/>
    <mergeCell ref="B34:C34"/>
    <mergeCell ref="C37:H37"/>
    <mergeCell ref="C64:H64"/>
    <mergeCell ref="B39:H39"/>
    <mergeCell ref="E44:H44"/>
    <mergeCell ref="F73:H73"/>
    <mergeCell ref="C18:H18"/>
    <mergeCell ref="B84:C84"/>
    <mergeCell ref="F88:H88"/>
    <mergeCell ref="F53:H53"/>
    <mergeCell ref="D93:H93"/>
    <mergeCell ref="F69:H69"/>
    <mergeCell ref="B83:C83"/>
    <mergeCell ref="F87:H87"/>
    <mergeCell ref="B92:C92"/>
    <mergeCell ref="F54:H54"/>
    <mergeCell ref="B24:C24"/>
    <mergeCell ref="B1:E1"/>
    <mergeCell ref="D92:H92"/>
    <mergeCell ref="B33:C33"/>
    <mergeCell ref="F83:H83"/>
    <mergeCell ref="B82:H82"/>
    <mergeCell ref="B45:C45"/>
    <mergeCell ref="F84:H84"/>
    <mergeCell ref="B85:C85"/>
    <mergeCell ref="B36:C36"/>
    <mergeCell ref="F74:H74"/>
    <mergeCell ref="B29:H29"/>
    <mergeCell ref="B26:C26"/>
    <mergeCell ref="B41:C41"/>
    <mergeCell ref="B35:C35"/>
    <mergeCell ref="F86:H86"/>
    <mergeCell ref="B28:H28"/>
    <mergeCell ref="F51:H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B1" s="1" t="inlineStr">
        <is>
          <t>Financial Summary — history &amp; forecast</t>
        </is>
      </c>
    </row>
    <row r="2">
      <c r="B2" s="2" t="inlineStr">
        <is>
          <t>Blue = input. Black = formula (growth, margins, per-share, multiples auto-calc).</t>
        </is>
      </c>
    </row>
    <row r="4" ht="22" customHeight="1">
      <c r="B4" s="34" t="inlineStr">
        <is>
          <t>Enter fiscal years in row 5, then the blue lines. Everything else calculates.</t>
        </is>
      </c>
    </row>
    <row r="5">
      <c r="B5" s="5" t="inlineStr">
        <is>
          <t>($ millions unless noted)</t>
        </is>
      </c>
      <c r="C5" s="35" t="inlineStr">
        <is>
          <t>FY-2 (A)</t>
        </is>
      </c>
      <c r="D5" s="35" t="inlineStr">
        <is>
          <t>FY-1 (A)</t>
        </is>
      </c>
      <c r="E5" s="35" t="inlineStr">
        <is>
          <t>FY0 (A)</t>
        </is>
      </c>
      <c r="F5" s="35" t="inlineStr">
        <is>
          <t>FY+1 (E)</t>
        </is>
      </c>
      <c r="G5" s="35" t="inlineStr">
        <is>
          <t>FY+2 (E)</t>
        </is>
      </c>
      <c r="H5" s="35" t="inlineStr">
        <is>
          <t>FY+3 (E)</t>
        </is>
      </c>
    </row>
    <row r="6">
      <c r="B6" s="8" t="inlineStr">
        <is>
          <t>Revenue</t>
        </is>
      </c>
      <c r="C6" s="36" t="n"/>
      <c r="D6" s="36" t="n"/>
      <c r="E6" s="36" t="n"/>
      <c r="F6" s="36" t="n"/>
      <c r="G6" s="36" t="n"/>
      <c r="H6" s="36" t="n"/>
    </row>
    <row r="7">
      <c r="B7" s="8" t="inlineStr">
        <is>
          <t xml:space="preserve">  YoY Growth %</t>
        </is>
      </c>
      <c r="C7" s="37" t="inlineStr"/>
      <c r="D7" s="37">
        <f>IFERROR(D6/C6-1,"")</f>
        <v/>
      </c>
      <c r="E7" s="37">
        <f>IFERROR(E6/D6-1,"")</f>
        <v/>
      </c>
      <c r="F7" s="37">
        <f>IFERROR(F6/E6-1,"")</f>
        <v/>
      </c>
      <c r="G7" s="37">
        <f>IFERROR(G6/F6-1,"")</f>
        <v/>
      </c>
      <c r="H7" s="37">
        <f>IFERROR(H6/G6-1,"")</f>
        <v/>
      </c>
    </row>
    <row r="8">
      <c r="B8" s="8" t="inlineStr">
        <is>
          <t>Gross Profit</t>
        </is>
      </c>
      <c r="C8" s="36" t="n"/>
      <c r="D8" s="36" t="n"/>
      <c r="E8" s="36" t="n"/>
      <c r="F8" s="36" t="n"/>
      <c r="G8" s="36" t="n"/>
      <c r="H8" s="36" t="n"/>
    </row>
    <row r="9">
      <c r="B9" s="8" t="inlineStr">
        <is>
          <t xml:space="preserve">  Gross Margin %</t>
        </is>
      </c>
      <c r="C9" s="37">
        <f>IFERROR(C8/C6,"")</f>
        <v/>
      </c>
      <c r="D9" s="37">
        <f>IFERROR(D8/D6,"")</f>
        <v/>
      </c>
      <c r="E9" s="37">
        <f>IFERROR(E8/E6,"")</f>
        <v/>
      </c>
      <c r="F9" s="37">
        <f>IFERROR(F8/F6,"")</f>
        <v/>
      </c>
      <c r="G9" s="37">
        <f>IFERROR(G8/G6,"")</f>
        <v/>
      </c>
      <c r="H9" s="37">
        <f>IFERROR(H8/H6,"")</f>
        <v/>
      </c>
    </row>
    <row r="10">
      <c r="B10" s="8" t="inlineStr">
        <is>
          <t>Operating Income</t>
        </is>
      </c>
      <c r="C10" s="36" t="n"/>
      <c r="D10" s="36" t="n"/>
      <c r="E10" s="36" t="n"/>
      <c r="F10" s="36" t="n"/>
      <c r="G10" s="36" t="n"/>
      <c r="H10" s="36" t="n"/>
    </row>
    <row r="11">
      <c r="B11" s="8" t="inlineStr">
        <is>
          <t xml:space="preserve">  Operating Margin %</t>
        </is>
      </c>
      <c r="C11" s="37">
        <f>IFERROR(C10/C6,"")</f>
        <v/>
      </c>
      <c r="D11" s="37">
        <f>IFERROR(D10/D6,"")</f>
        <v/>
      </c>
      <c r="E11" s="37">
        <f>IFERROR(E10/E6,"")</f>
        <v/>
      </c>
      <c r="F11" s="37">
        <f>IFERROR(F10/F6,"")</f>
        <v/>
      </c>
      <c r="G11" s="37">
        <f>IFERROR(G10/G6,"")</f>
        <v/>
      </c>
      <c r="H11" s="37">
        <f>IFERROR(H10/H6,"")</f>
        <v/>
      </c>
    </row>
    <row r="12">
      <c r="B12" s="8" t="inlineStr">
        <is>
          <t>Net Income</t>
        </is>
      </c>
      <c r="C12" s="36" t="n"/>
      <c r="D12" s="36" t="n"/>
      <c r="E12" s="36" t="n"/>
      <c r="F12" s="36" t="n"/>
      <c r="G12" s="36" t="n"/>
      <c r="H12" s="36" t="n"/>
    </row>
    <row r="13">
      <c r="B13" s="8" t="inlineStr">
        <is>
          <t>Diluted Shares (m)</t>
        </is>
      </c>
      <c r="C13" s="36" t="n"/>
      <c r="D13" s="36" t="n"/>
      <c r="E13" s="36" t="n"/>
      <c r="F13" s="36" t="n"/>
      <c r="G13" s="36" t="n"/>
      <c r="H13" s="36" t="n"/>
    </row>
    <row r="14">
      <c r="B14" s="8" t="inlineStr">
        <is>
          <t xml:space="preserve">  EPS ($)</t>
        </is>
      </c>
      <c r="C14" s="38">
        <f>IFERROR(C12/C13,"")</f>
        <v/>
      </c>
      <c r="D14" s="38">
        <f>IFERROR(D12/D13,"")</f>
        <v/>
      </c>
      <c r="E14" s="38">
        <f>IFERROR(E12/E13,"")</f>
        <v/>
      </c>
      <c r="F14" s="38">
        <f>IFERROR(F12/F13,"")</f>
        <v/>
      </c>
      <c r="G14" s="38">
        <f>IFERROR(G12/G13,"")</f>
        <v/>
      </c>
      <c r="H14" s="38">
        <f>IFERROR(H12/H13,"")</f>
        <v/>
      </c>
    </row>
    <row r="15">
      <c r="B15" s="8" t="inlineStr">
        <is>
          <t>Free Cash Flow</t>
        </is>
      </c>
      <c r="C15" s="36" t="n"/>
      <c r="D15" s="36" t="n"/>
      <c r="E15" s="36" t="n"/>
      <c r="F15" s="36" t="n"/>
      <c r="G15" s="36" t="n"/>
      <c r="H15" s="36" t="n"/>
    </row>
    <row r="16">
      <c r="B16" s="8" t="inlineStr">
        <is>
          <t xml:space="preserve">  FCF Margin %</t>
        </is>
      </c>
      <c r="C16" s="37">
        <f>IFERROR(C15/C6,"")</f>
        <v/>
      </c>
      <c r="D16" s="37">
        <f>IFERROR(D15/D6,"")</f>
        <v/>
      </c>
      <c r="E16" s="37">
        <f>IFERROR(E15/E6,"")</f>
        <v/>
      </c>
      <c r="F16" s="37">
        <f>IFERROR(F15/F6,"")</f>
        <v/>
      </c>
      <c r="G16" s="37">
        <f>IFERROR(G15/G6,"")</f>
        <v/>
      </c>
      <c r="H16" s="37">
        <f>IFERROR(H15/H6,"")</f>
        <v/>
      </c>
    </row>
    <row r="18" ht="22" customHeight="1">
      <c r="B18" s="39" t="inlineStr">
        <is>
          <t>VALUATION CHECK  ·  enter current price + net debt</t>
        </is>
      </c>
    </row>
    <row r="19">
      <c r="B19" s="8" t="inlineStr">
        <is>
          <t>Current Price ($)</t>
        </is>
      </c>
      <c r="C19" s="40" t="n"/>
    </row>
    <row r="20">
      <c r="B20" s="8" t="inlineStr">
        <is>
          <t>Net Debt / (Cash) (m)</t>
        </is>
      </c>
      <c r="C20" s="36" t="n"/>
    </row>
    <row r="21">
      <c r="B21" s="8" t="inlineStr">
        <is>
          <t>Market Cap (m)</t>
        </is>
      </c>
      <c r="C21" s="41">
        <f>IFERROR($C$19*C13,"")</f>
        <v/>
      </c>
      <c r="D21" s="41">
        <f>IFERROR($C$19*D13,"")</f>
        <v/>
      </c>
      <c r="E21" s="41">
        <f>IFERROR($C$19*E13,"")</f>
        <v/>
      </c>
      <c r="F21" s="41">
        <f>IFERROR($C$19*F13,"")</f>
        <v/>
      </c>
      <c r="G21" s="41">
        <f>IFERROR($C$19*G13,"")</f>
        <v/>
      </c>
      <c r="H21" s="41">
        <f>IFERROR($C$19*H13,"")</f>
        <v/>
      </c>
    </row>
    <row r="22">
      <c r="B22" s="8" t="inlineStr">
        <is>
          <t>Enterprise Value (m)</t>
        </is>
      </c>
      <c r="C22" s="41">
        <f>IFERROR(C21+$C$20,"")</f>
        <v/>
      </c>
      <c r="D22" s="41">
        <f>IFERROR(D21+$C$20,"")</f>
        <v/>
      </c>
      <c r="E22" s="41">
        <f>IFERROR(E21+$C$20,"")</f>
        <v/>
      </c>
      <c r="F22" s="41">
        <f>IFERROR(F21+$C$20,"")</f>
        <v/>
      </c>
      <c r="G22" s="41">
        <f>IFERROR(G21+$C$20,"")</f>
        <v/>
      </c>
      <c r="H22" s="41">
        <f>IFERROR(H21+$C$20,"")</f>
        <v/>
      </c>
    </row>
    <row r="23">
      <c r="B23" s="8" t="inlineStr">
        <is>
          <t>P/E (x)</t>
        </is>
      </c>
      <c r="C23" s="42">
        <f>IFERROR(C21/C12,"")</f>
        <v/>
      </c>
      <c r="D23" s="42">
        <f>IFERROR(D21/D12,"")</f>
        <v/>
      </c>
      <c r="E23" s="42">
        <f>IFERROR(E21/E12,"")</f>
        <v/>
      </c>
      <c r="F23" s="42">
        <f>IFERROR(F21/F12,"")</f>
        <v/>
      </c>
      <c r="G23" s="42">
        <f>IFERROR(G21/G12,"")</f>
        <v/>
      </c>
      <c r="H23" s="42">
        <f>IFERROR(H21/H12,"")</f>
        <v/>
      </c>
    </row>
    <row r="24">
      <c r="B24" s="8" t="inlineStr">
        <is>
          <t>EV/Sales (x)</t>
        </is>
      </c>
      <c r="C24" s="42">
        <f>IFERROR(C22/C6,"")</f>
        <v/>
      </c>
      <c r="D24" s="42">
        <f>IFERROR(D22/D6,"")</f>
        <v/>
      </c>
      <c r="E24" s="42">
        <f>IFERROR(E22/E6,"")</f>
        <v/>
      </c>
      <c r="F24" s="42">
        <f>IFERROR(F22/F6,"")</f>
        <v/>
      </c>
      <c r="G24" s="42">
        <f>IFERROR(G22/G6,"")</f>
        <v/>
      </c>
      <c r="H24" s="42">
        <f>IFERROR(H22/H6,"")</f>
        <v/>
      </c>
    </row>
    <row r="25">
      <c r="B25" s="8" t="inlineStr">
        <is>
          <t>FCF Yield %</t>
        </is>
      </c>
      <c r="C25" s="37">
        <f>IFERROR(C15/C21,"")</f>
        <v/>
      </c>
      <c r="D25" s="37">
        <f>IFERROR(D15/D21,"")</f>
        <v/>
      </c>
      <c r="E25" s="37">
        <f>IFERROR(E15/E21,"")</f>
        <v/>
      </c>
      <c r="F25" s="37">
        <f>IFERROR(F15/F21,"")</f>
        <v/>
      </c>
      <c r="G25" s="37">
        <f>IFERROR(G15/G21,"")</f>
        <v/>
      </c>
      <c r="H25" s="37">
        <f>IFERROR(H15/H21,"")</f>
        <v/>
      </c>
    </row>
  </sheetData>
  <mergeCells count="2">
    <mergeCell ref="B4:H4"/>
    <mergeCell ref="B18:H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B1" s="1" t="inlineStr">
        <is>
          <t>Peer Comparison</t>
        </is>
      </c>
    </row>
    <row r="2">
      <c r="B2" s="2" t="inlineStr">
        <is>
          <t>List 4-6 peers; enter the multiples; the average anchors your target.</t>
        </is>
      </c>
    </row>
    <row r="4">
      <c r="B4" s="35" t="inlineStr">
        <is>
          <t>Peer</t>
        </is>
      </c>
      <c r="C4" s="35" t="inlineStr">
        <is>
          <t>Mkt Cap (m)</t>
        </is>
      </c>
      <c r="D4" s="35" t="inlineStr">
        <is>
          <t>P/E</t>
        </is>
      </c>
      <c r="E4" s="35" t="inlineStr">
        <is>
          <t>EV/Sales</t>
        </is>
      </c>
      <c r="F4" s="35" t="inlineStr">
        <is>
          <t>EV/EBITDA</t>
        </is>
      </c>
      <c r="G4" s="35" t="inlineStr">
        <is>
          <t>Rev Gr %</t>
        </is>
      </c>
    </row>
    <row r="5">
      <c r="B5" s="9" t="n"/>
      <c r="C5" s="21" t="n"/>
      <c r="D5" s="31" t="n"/>
      <c r="E5" s="31" t="n"/>
      <c r="F5" s="31" t="n"/>
      <c r="G5" s="18" t="n"/>
    </row>
    <row r="6">
      <c r="B6" s="9" t="n"/>
      <c r="C6" s="21" t="n"/>
      <c r="D6" s="31" t="n"/>
      <c r="E6" s="31" t="n"/>
      <c r="F6" s="31" t="n"/>
      <c r="G6" s="18" t="n"/>
    </row>
    <row r="7">
      <c r="B7" s="9" t="n"/>
      <c r="C7" s="21" t="n"/>
      <c r="D7" s="31" t="n"/>
      <c r="E7" s="31" t="n"/>
      <c r="F7" s="31" t="n"/>
      <c r="G7" s="18" t="n"/>
    </row>
    <row r="8">
      <c r="B8" s="9" t="n"/>
      <c r="C8" s="21" t="n"/>
      <c r="D8" s="31" t="n"/>
      <c r="E8" s="31" t="n"/>
      <c r="F8" s="31" t="n"/>
      <c r="G8" s="18" t="n"/>
    </row>
    <row r="9">
      <c r="B9" s="9" t="n"/>
      <c r="C9" s="21" t="n"/>
      <c r="D9" s="31" t="n"/>
      <c r="E9" s="31" t="n"/>
      <c r="F9" s="31" t="n"/>
      <c r="G9" s="18" t="n"/>
    </row>
    <row r="10">
      <c r="B10" s="9" t="n"/>
      <c r="C10" s="21" t="n"/>
      <c r="D10" s="31" t="n"/>
      <c r="E10" s="31" t="n"/>
      <c r="F10" s="31" t="n"/>
      <c r="G10" s="18" t="n"/>
    </row>
    <row r="11">
      <c r="B11" s="43" t="inlineStr">
        <is>
          <t>Peer Average</t>
        </is>
      </c>
      <c r="C11" s="44">
        <f>IFERROR(AVERAGE(C5:C10),"")</f>
        <v/>
      </c>
      <c r="D11" s="45">
        <f>IFERROR(AVERAGE(D5:D10),"")</f>
        <v/>
      </c>
      <c r="E11" s="45">
        <f>IFERROR(AVERAGE(E5:E10),"")</f>
        <v/>
      </c>
      <c r="F11" s="45">
        <f>IFERROR(AVERAGE(F5:F10),"")</f>
        <v/>
      </c>
      <c r="G11" s="46">
        <f>IFERROR(AVERAGE(G5:G10),"")</f>
        <v/>
      </c>
    </row>
    <row r="13">
      <c r="B13" s="47" t="inlineStr">
        <is>
          <t>Tip: apply Peer-Avg P/E × your FY+1 EPS (Financials tab) to sanity-check the target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2026-08-04T11:02:53Z</dcterms:created>
  <dcterms:modified xsi:type="dcterms:W3CDTF">2026-08-04T11:02:53Z</dcterms:modified>
</cp:coreProperties>
</file>